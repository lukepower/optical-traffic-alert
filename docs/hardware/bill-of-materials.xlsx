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ückli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<sst xmlns="http://schemas.openxmlformats.org/spreadsheetml/2006/main" count="115" uniqueCount="75">
  <si>
    <t xml:space="preserve">Optisches Traffic-Alert-System – Stückliste (Stand 18.10.2026)</t>
  </si>
  <si>
    <t xml:space="preserve">Preise ca. in EUR inkl. MwSt. Blau = Eingabewerte (anpassbar). 'Schätzung' = kein Listenpreis gefunden, Angebot einholen.</t>
  </si>
  <si>
    <t xml:space="preserve">Nr</t>
  </si>
  <si>
    <t xml:space="preserve">Phase</t>
  </si>
  <si>
    <t xml:space="preserve">Kategorie</t>
  </si>
  <si>
    <t xml:space="preserve">Komponente</t>
  </si>
  <si>
    <t xml:space="preserve">Beispielmodell</t>
  </si>
  <si>
    <t xml:space="preserve">Menge</t>
  </si>
  <si>
    <t xml:space="preserve">Stückpreis €</t>
  </si>
  <si>
    <t xml:space="preserve">Summe €</t>
  </si>
  <si>
    <t xml:space="preserve">Hinweis / Quelle</t>
  </si>
  <si>
    <t xml:space="preserve">1 – Bodenprototyp</t>
  </si>
  <si>
    <t xml:space="preserve">Compute</t>
  </si>
  <si>
    <t xml:space="preserve">KI-Rechner (wird für Phase 2 weiterverwendet)</t>
  </si>
  <si>
    <t xml:space="preserve">Waveshare Jetson Orin NX 16GB Dual-ETH Dev Kit</t>
  </si>
  <si>
    <t xml:space="preserve">Waveshare: $946–1.410 je nach RAM (16GB-Variante oberes Ende)</t>
  </si>
  <si>
    <t xml:space="preserve">NVMe SSD 1 TB (Videoaufzeichnung, Trainingsdaten)</t>
  </si>
  <si>
    <t xml:space="preserve">z. B. Samsung 980 / WD SN770</t>
  </si>
  <si>
    <t xml:space="preserve">Schätzung</t>
  </si>
  <si>
    <t xml:space="preserve">Kamera</t>
  </si>
  <si>
    <t xml:space="preserve">Frontkamera für Erstaufnahmen am Boden</t>
  </si>
  <si>
    <t xml:space="preserve">Leopard Imaging LI-IMX678-MIPI (8 MP, STARVIS 2)</t>
  </si>
  <si>
    <t xml:space="preserve">Leopard: $299; MIPI-Kabel kurz → Kamera direkt an der Box</t>
  </si>
  <si>
    <t xml:space="preserve">Günstige Zweitkamera / Datensammler</t>
  </si>
  <si>
    <t xml:space="preserve">Waveshare IMX678 8MP USB Camera (A)</t>
  </si>
  <si>
    <t xml:space="preserve">Waveshare: ca. $63–65; nur USB 2.0, für Aufnahmen ok</t>
  </si>
  <si>
    <t xml:space="preserve">Optik</t>
  </si>
  <si>
    <t xml:space="preserve">M12-Objektive schmales FOV (z. B. 8 mm + 12 mm)</t>
  </si>
  <si>
    <t xml:space="preserve">diverse M12, 8 MP-tauglich</t>
  </si>
  <si>
    <t xml:space="preserve">Sensorik</t>
  </si>
  <si>
    <t xml:space="preserve">IMU (Lage, Eigenbewegung)</t>
  </si>
  <si>
    <t xml:space="preserve">Adafruit BNO085 (#4754)</t>
  </si>
  <si>
    <t xml:space="preserve">DigiKey: $24,95</t>
  </si>
  <si>
    <t xml:space="preserve">GNSS-Empfänger (eigene Position, ADS-B-Fusion)</t>
  </si>
  <si>
    <t xml:space="preserve">u-blox M10 Modul</t>
  </si>
  <si>
    <t xml:space="preserve">Funk</t>
  </si>
  <si>
    <t xml:space="preserve">SDR 1090 MHz (ADS-B) + 868 MHz (FLARM/OGN)</t>
  </si>
  <si>
    <t xml:space="preserve">RTL-SDR Blog V4</t>
  </si>
  <si>
    <t xml:space="preserve">eBay/Händler ca. €40–89</t>
  </si>
  <si>
    <t xml:space="preserve">Antennen 1090 / 868 MHz</t>
  </si>
  <si>
    <t xml:space="preserve">Stummel- oder Dipolantennen</t>
  </si>
  <si>
    <t xml:space="preserve">Audio</t>
  </si>
  <si>
    <t xml:space="preserve">USB-Audioadapter</t>
  </si>
  <si>
    <t xml:space="preserve">beliebig, Linux-kompatibel</t>
  </si>
  <si>
    <t xml:space="preserve">Intercom-Kabel (Aux-In / Headset-Adapter)</t>
  </si>
  <si>
    <t xml:space="preserve">passend zum Intercom der V35A</t>
  </si>
  <si>
    <t xml:space="preserve">Massetrennfilter (Brummschleife)</t>
  </si>
  <si>
    <t xml:space="preserve">Ground-Loop-Isolator 3,5 mm</t>
  </si>
  <si>
    <t xml:space="preserve">2 – Flugsystem</t>
  </si>
  <si>
    <t xml:space="preserve">GMSL2-Kameras (vorne, links, rechts), monochrom für mehr Kontrast</t>
  </si>
  <si>
    <t xml:space="preserve">Basler ace 2 a2A3536-37mgm (IMX676, 12,5 MP, GMSL2)</t>
  </si>
  <si>
    <t xml:space="preserve">Schätzung – Preis bei Basler anfragen</t>
  </si>
  <si>
    <t xml:space="preserve">Objektive für GMSL-Kameras</t>
  </si>
  <si>
    <t xml:space="preserve">passend zum Kamera-Mount, 25–35 mm-Äquivalent</t>
  </si>
  <si>
    <t xml:space="preserve">GMSL2-Deserializer für bis zu 4 Kameras</t>
  </si>
  <si>
    <t xml:space="preserve">Forecr DSADDON-GMSL-NX</t>
  </si>
  <si>
    <t xml:space="preserve">Forecr: €430</t>
  </si>
  <si>
    <t xml:space="preserve">FAKRA-Koaxkabel 3 m</t>
  </si>
  <si>
    <t xml:space="preserve">Basler GMSL FAKRA-Z F/F 3 m</t>
  </si>
  <si>
    <t xml:space="preserve">Basler: €29</t>
  </si>
  <si>
    <t xml:space="preserve">Strom</t>
  </si>
  <si>
    <t xml:space="preserve">DC/DC-Wandler 9–36 V Eingang, isoliert, mit EMV-Filter</t>
  </si>
  <si>
    <t xml:space="preserve">z. B. Mean Well / Traco Industriemodul</t>
  </si>
  <si>
    <t xml:space="preserve">Schätzung – EMV-Test mit Funk/GPS zwingend</t>
  </si>
  <si>
    <t xml:space="preserve">Mechanik</t>
  </si>
  <si>
    <t xml:space="preserve">Alu-Gehäuse mit Lüfter (Cockpit-Hitze!)</t>
  </si>
  <si>
    <t xml:space="preserve">Eigenbau oder Fertiggehäuse</t>
  </si>
  <si>
    <t xml:space="preserve">Kamerahalter mit Gegenlichtblende (Saugnapf/Klemme)</t>
  </si>
  <si>
    <t xml:space="preserve">3D-Druck + Saugnapf</t>
  </si>
  <si>
    <t xml:space="preserve">Kleinteile, Stecker, Sicherung</t>
  </si>
  <si>
    <t xml:space="preserve">–</t>
  </si>
  <si>
    <t xml:space="preserve">Summe Phase 1 (Bodenprototyp)</t>
  </si>
  <si>
    <t xml:space="preserve">Summe Phase 2 (zusätzlich)</t>
  </si>
  <si>
    <t xml:space="preserve">Gesamt</t>
  </si>
  <si>
    <t xml:space="preserve">Hinweis: Nicht zertifiziertes Zusatzgerät. Kameras innen montiert (portabel). Außenmontage = Änderung am Luftfahrzeug (EASA).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</si>
</sst>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6.85" hidden="false" customHeight="fals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5" t="n">
        <v>1</v>
      </c>
      <c r="G5" s="6" t="n">
        <v>1250</v>
      </c>
      <c r="H5" s="7" t="n">
        <f aca="false">F5*G5</f>
        <v>1250</v>
      </c>
      <c r="I5" s="4" t="s">
        <v>15</v>
      </c>
    </row>
    <row r="6" customFormat="false" ht="26.85" hidden="false" customHeight="false" outlineLevel="0" collapsed="false">
      <c r="A6" s="4" t="n">
        <v>2</v>
      </c>
      <c r="B6" s="4" t="s">
        <v>11</v>
      </c>
      <c r="C6" s="4" t="s">
        <v>12</v>
      </c>
      <c r="D6" s="4" t="s">
        <v>16</v>
      </c>
      <c r="E6" s="4" t="s">
        <v>17</v>
      </c>
      <c r="F6" s="5" t="n">
        <v>1</v>
      </c>
      <c r="G6" s="6" t="n">
        <v>80</v>
      </c>
      <c r="H6" s="7" t="n">
        <f aca="false">F6*G6</f>
        <v>80</v>
      </c>
      <c r="I6" s="4" t="s">
        <v>18</v>
      </c>
    </row>
    <row r="7" customFormat="false" ht="26.85" hidden="false" customHeight="false" outlineLevel="0" collapsed="false">
      <c r="A7" s="4" t="n">
        <v>3</v>
      </c>
      <c r="B7" s="4" t="s">
        <v>11</v>
      </c>
      <c r="C7" s="4" t="s">
        <v>19</v>
      </c>
      <c r="D7" s="4" t="s">
        <v>20</v>
      </c>
      <c r="E7" s="4" t="s">
        <v>21</v>
      </c>
      <c r="F7" s="5" t="n">
        <v>1</v>
      </c>
      <c r="G7" s="6" t="n">
        <v>270</v>
      </c>
      <c r="H7" s="7" t="n">
        <f aca="false">F7*G7</f>
        <v>270</v>
      </c>
      <c r="I7" s="4" t="s">
        <v>22</v>
      </c>
    </row>
    <row r="8" customFormat="false" ht="26.85" hidden="false" customHeight="false" outlineLevel="0" collapsed="false">
      <c r="A8" s="4" t="n">
        <v>4</v>
      </c>
      <c r="B8" s="4" t="s">
        <v>11</v>
      </c>
      <c r="C8" s="4" t="s">
        <v>19</v>
      </c>
      <c r="D8" s="4" t="s">
        <v>23</v>
      </c>
      <c r="E8" s="4" t="s">
        <v>24</v>
      </c>
      <c r="F8" s="5" t="n">
        <v>1</v>
      </c>
      <c r="G8" s="6" t="n">
        <v>60</v>
      </c>
      <c r="H8" s="7" t="n">
        <f aca="false">F8*G8</f>
        <v>60</v>
      </c>
      <c r="I8" s="4" t="s">
        <v>25</v>
      </c>
    </row>
    <row r="9" customFormat="false" ht="26.85" hidden="false" customHeight="false" outlineLevel="0" collapsed="false">
      <c r="A9" s="4" t="n">
        <v>5</v>
      </c>
      <c r="B9" s="4" t="s">
        <v>11</v>
      </c>
      <c r="C9" s="4" t="s">
        <v>26</v>
      </c>
      <c r="D9" s="4" t="s">
        <v>27</v>
      </c>
      <c r="E9" s="4" t="s">
        <v>28</v>
      </c>
      <c r="F9" s="5" t="n">
        <v>2</v>
      </c>
      <c r="G9" s="6" t="n">
        <v>30</v>
      </c>
      <c r="H9" s="7" t="n">
        <f aca="false">F9*G9</f>
        <v>60</v>
      </c>
      <c r="I9" s="4" t="s">
        <v>18</v>
      </c>
    </row>
    <row r="10" customFormat="false" ht="15" hidden="false" customHeight="false" outlineLevel="0" collapsed="false">
      <c r="A10" s="4" t="n">
        <v>6</v>
      </c>
      <c r="B10" s="4" t="s">
        <v>11</v>
      </c>
      <c r="C10" s="4" t="s">
        <v>29</v>
      </c>
      <c r="D10" s="4" t="s">
        <v>30</v>
      </c>
      <c r="E10" s="4" t="s">
        <v>31</v>
      </c>
      <c r="F10" s="5" t="n">
        <v>1</v>
      </c>
      <c r="G10" s="6" t="n">
        <v>25</v>
      </c>
      <c r="H10" s="7" t="n">
        <f aca="false">F10*G10</f>
        <v>25</v>
      </c>
      <c r="I10" s="4" t="s">
        <v>32</v>
      </c>
    </row>
    <row r="11" customFormat="false" ht="26.85" hidden="false" customHeight="false" outlineLevel="0" collapsed="false">
      <c r="A11" s="4" t="n">
        <v>7</v>
      </c>
      <c r="B11" s="4" t="s">
        <v>11</v>
      </c>
      <c r="C11" s="4" t="s">
        <v>29</v>
      </c>
      <c r="D11" s="4" t="s">
        <v>33</v>
      </c>
      <c r="E11" s="4" t="s">
        <v>34</v>
      </c>
      <c r="F11" s="5" t="n">
        <v>1</v>
      </c>
      <c r="G11" s="6" t="n">
        <v>30</v>
      </c>
      <c r="H11" s="7" t="n">
        <f aca="false">F11*G11</f>
        <v>30</v>
      </c>
      <c r="I11" s="4" t="s">
        <v>18</v>
      </c>
    </row>
    <row r="12" customFormat="false" ht="26.85" hidden="false" customHeight="false" outlineLevel="0" collapsed="false">
      <c r="A12" s="4" t="n">
        <v>8</v>
      </c>
      <c r="B12" s="4" t="s">
        <v>11</v>
      </c>
      <c r="C12" s="4" t="s">
        <v>35</v>
      </c>
      <c r="D12" s="4" t="s">
        <v>36</v>
      </c>
      <c r="E12" s="4" t="s">
        <v>37</v>
      </c>
      <c r="F12" s="5" t="n">
        <v>2</v>
      </c>
      <c r="G12" s="6" t="n">
        <v>45</v>
      </c>
      <c r="H12" s="7" t="n">
        <f aca="false">F12*G12</f>
        <v>90</v>
      </c>
      <c r="I12" s="4" t="s">
        <v>38</v>
      </c>
    </row>
    <row r="13" customFormat="false" ht="15" hidden="false" customHeight="false" outlineLevel="0" collapsed="false">
      <c r="A13" s="4" t="n">
        <v>9</v>
      </c>
      <c r="B13" s="4" t="s">
        <v>11</v>
      </c>
      <c r="C13" s="4" t="s">
        <v>35</v>
      </c>
      <c r="D13" s="4" t="s">
        <v>39</v>
      </c>
      <c r="E13" s="4" t="s">
        <v>40</v>
      </c>
      <c r="F13" s="5" t="n">
        <v>2</v>
      </c>
      <c r="G13" s="6" t="n">
        <v>20</v>
      </c>
      <c r="H13" s="7" t="n">
        <f aca="false">F13*G13</f>
        <v>40</v>
      </c>
      <c r="I13" s="4" t="s">
        <v>18</v>
      </c>
    </row>
    <row r="14" customFormat="false" ht="15" hidden="false" customHeight="false" outlineLevel="0" collapsed="false">
      <c r="A14" s="4" t="n">
        <v>10</v>
      </c>
      <c r="B14" s="4" t="s">
        <v>11</v>
      </c>
      <c r="C14" s="4" t="s">
        <v>41</v>
      </c>
      <c r="D14" s="4" t="s">
        <v>42</v>
      </c>
      <c r="E14" s="4" t="s">
        <v>43</v>
      </c>
      <c r="F14" s="5" t="n">
        <v>1</v>
      </c>
      <c r="G14" s="6" t="n">
        <v>15</v>
      </c>
      <c r="H14" s="7" t="n">
        <f aca="false">F14*G14</f>
        <v>15</v>
      </c>
      <c r="I14" s="4" t="s">
        <v>18</v>
      </c>
    </row>
    <row r="15" customFormat="false" ht="15" hidden="false" customHeight="false" outlineLevel="0" collapsed="false">
      <c r="A15" s="4" t="n">
        <v>11</v>
      </c>
      <c r="B15" s="4" t="s">
        <v>11</v>
      </c>
      <c r="C15" s="4" t="s">
        <v>41</v>
      </c>
      <c r="D15" s="4" t="s">
        <v>44</v>
      </c>
      <c r="E15" s="4" t="s">
        <v>45</v>
      </c>
      <c r="F15" s="5" t="n">
        <v>1</v>
      </c>
      <c r="G15" s="6" t="n">
        <v>35</v>
      </c>
      <c r="H15" s="7" t="n">
        <f aca="false">F15*G15</f>
        <v>35</v>
      </c>
      <c r="I15" s="4" t="s">
        <v>18</v>
      </c>
    </row>
    <row r="16" customFormat="false" ht="15" hidden="false" customHeight="false" outlineLevel="0" collapsed="false">
      <c r="A16" s="4" t="n">
        <v>12</v>
      </c>
      <c r="B16" s="4" t="s">
        <v>11</v>
      </c>
      <c r="C16" s="4" t="s">
        <v>41</v>
      </c>
      <c r="D16" s="4" t="s">
        <v>46</v>
      </c>
      <c r="E16" s="4" t="s">
        <v>47</v>
      </c>
      <c r="F16" s="5" t="n">
        <v>1</v>
      </c>
      <c r="G16" s="6" t="n">
        <v>15</v>
      </c>
      <c r="H16" s="7" t="n">
        <f aca="false">F16*G16</f>
        <v>15</v>
      </c>
      <c r="I16" s="4" t="s">
        <v>18</v>
      </c>
    </row>
    <row r="17" customFormat="false" ht="26.85" hidden="false" customHeight="false" outlineLevel="0" collapsed="false">
      <c r="A17" s="4" t="n">
        <v>13</v>
      </c>
      <c r="B17" s="4" t="s">
        <v>48</v>
      </c>
      <c r="C17" s="4" t="s">
        <v>19</v>
      </c>
      <c r="D17" s="4" t="s">
        <v>49</v>
      </c>
      <c r="E17" s="4" t="s">
        <v>50</v>
      </c>
      <c r="F17" s="5" t="n">
        <v>3</v>
      </c>
      <c r="G17" s="6" t="n">
        <v>550</v>
      </c>
      <c r="H17" s="7" t="n">
        <f aca="false">F17*G17</f>
        <v>1650</v>
      </c>
      <c r="I17" s="4" t="s">
        <v>51</v>
      </c>
    </row>
    <row r="18" customFormat="false" ht="26.85" hidden="false" customHeight="false" outlineLevel="0" collapsed="false">
      <c r="A18" s="4" t="n">
        <v>14</v>
      </c>
      <c r="B18" s="4" t="s">
        <v>48</v>
      </c>
      <c r="C18" s="4" t="s">
        <v>26</v>
      </c>
      <c r="D18" s="4" t="s">
        <v>52</v>
      </c>
      <c r="E18" s="4" t="s">
        <v>53</v>
      </c>
      <c r="F18" s="5" t="n">
        <v>3</v>
      </c>
      <c r="G18" s="6" t="n">
        <v>90</v>
      </c>
      <c r="H18" s="7" t="n">
        <f aca="false">F18*G18</f>
        <v>270</v>
      </c>
      <c r="I18" s="4" t="s">
        <v>18</v>
      </c>
    </row>
    <row r="19" customFormat="false" ht="15" hidden="false" customHeight="false" outlineLevel="0" collapsed="false">
      <c r="A19" s="4" t="n">
        <v>15</v>
      </c>
      <c r="B19" s="4" t="s">
        <v>48</v>
      </c>
      <c r="C19" s="4" t="s">
        <v>19</v>
      </c>
      <c r="D19" s="4" t="s">
        <v>54</v>
      </c>
      <c r="E19" s="4" t="s">
        <v>55</v>
      </c>
      <c r="F19" s="5" t="n">
        <v>1</v>
      </c>
      <c r="G19" s="6" t="n">
        <v>430</v>
      </c>
      <c r="H19" s="7" t="n">
        <f aca="false">F19*G19</f>
        <v>430</v>
      </c>
      <c r="I19" s="4" t="s">
        <v>56</v>
      </c>
    </row>
    <row r="20" customFormat="false" ht="15" hidden="false" customHeight="false" outlineLevel="0" collapsed="false">
      <c r="A20" s="4" t="n">
        <v>16</v>
      </c>
      <c r="B20" s="4" t="s">
        <v>48</v>
      </c>
      <c r="C20" s="4" t="s">
        <v>19</v>
      </c>
      <c r="D20" s="4" t="s">
        <v>57</v>
      </c>
      <c r="E20" s="4" t="s">
        <v>58</v>
      </c>
      <c r="F20" s="5" t="n">
        <v>3</v>
      </c>
      <c r="G20" s="6" t="n">
        <v>29</v>
      </c>
      <c r="H20" s="7" t="n">
        <f aca="false">F20*G20</f>
        <v>87</v>
      </c>
      <c r="I20" s="4" t="s">
        <v>59</v>
      </c>
    </row>
    <row r="21" customFormat="false" ht="26.85" hidden="false" customHeight="false" outlineLevel="0" collapsed="false">
      <c r="A21" s="4" t="n">
        <v>17</v>
      </c>
      <c r="B21" s="4" t="s">
        <v>48</v>
      </c>
      <c r="C21" s="4" t="s">
        <v>60</v>
      </c>
      <c r="D21" s="4" t="s">
        <v>61</v>
      </c>
      <c r="E21" s="4" t="s">
        <v>62</v>
      </c>
      <c r="F21" s="5" t="n">
        <v>1</v>
      </c>
      <c r="G21" s="6" t="n">
        <v>70</v>
      </c>
      <c r="H21" s="7" t="n">
        <f aca="false">F21*G21</f>
        <v>70</v>
      </c>
      <c r="I21" s="4" t="s">
        <v>63</v>
      </c>
    </row>
    <row r="22" customFormat="false" ht="15" hidden="false" customHeight="false" outlineLevel="0" collapsed="false">
      <c r="A22" s="4" t="n">
        <v>18</v>
      </c>
      <c r="B22" s="4" t="s">
        <v>48</v>
      </c>
      <c r="C22" s="4" t="s">
        <v>64</v>
      </c>
      <c r="D22" s="4" t="s">
        <v>65</v>
      </c>
      <c r="E22" s="4" t="s">
        <v>66</v>
      </c>
      <c r="F22" s="5" t="n">
        <v>1</v>
      </c>
      <c r="G22" s="6" t="n">
        <v>80</v>
      </c>
      <c r="H22" s="7" t="n">
        <f aca="false">F22*G22</f>
        <v>80</v>
      </c>
      <c r="I22" s="4" t="s">
        <v>18</v>
      </c>
    </row>
    <row r="23" customFormat="false" ht="26.85" hidden="false" customHeight="false" outlineLevel="0" collapsed="false">
      <c r="A23" s="4" t="n">
        <v>19</v>
      </c>
      <c r="B23" s="4" t="s">
        <v>48</v>
      </c>
      <c r="C23" s="4" t="s">
        <v>64</v>
      </c>
      <c r="D23" s="4" t="s">
        <v>67</v>
      </c>
      <c r="E23" s="4" t="s">
        <v>68</v>
      </c>
      <c r="F23" s="5" t="n">
        <v>3</v>
      </c>
      <c r="G23" s="6" t="n">
        <v>25</v>
      </c>
      <c r="H23" s="7" t="n">
        <f aca="false">F23*G23</f>
        <v>75</v>
      </c>
      <c r="I23" s="4" t="s">
        <v>18</v>
      </c>
    </row>
    <row r="24" customFormat="false" ht="15" hidden="false" customHeight="false" outlineLevel="0" collapsed="false">
      <c r="A24" s="4" t="n">
        <v>20</v>
      </c>
      <c r="B24" s="4" t="s">
        <v>48</v>
      </c>
      <c r="C24" s="4" t="s">
        <v>64</v>
      </c>
      <c r="D24" s="4" t="s">
        <v>69</v>
      </c>
      <c r="E24" s="4" t="s">
        <v>70</v>
      </c>
      <c r="F24" s="5" t="n">
        <v>1</v>
      </c>
      <c r="G24" s="6" t="n">
        <v>50</v>
      </c>
      <c r="H24" s="7" t="n">
        <f aca="false">F24*G24</f>
        <v>50</v>
      </c>
      <c r="I24" s="4" t="s">
        <v>18</v>
      </c>
    </row>
    <row r="26" customFormat="false" ht="15" hidden="false" customHeight="false" outlineLevel="0" collapsed="false">
      <c r="D26" s="8" t="s">
        <v>71</v>
      </c>
      <c r="H26" s="9" t="n">
        <f aca="false">SUMIFS(H5:H24,B5:B24,"1 – Bodenprototyp")</f>
        <v>1970</v>
      </c>
    </row>
    <row r="27" customFormat="false" ht="15" hidden="false" customHeight="false" outlineLevel="0" collapsed="false">
      <c r="D27" s="8" t="s">
        <v>72</v>
      </c>
      <c r="H27" s="9" t="n">
        <f aca="false">SUMIFS(H5:H24,B5:B24,"2 – Flugsystem")</f>
        <v>2712</v>
      </c>
    </row>
    <row r="28" customFormat="false" ht="15" hidden="false" customHeight="false" outlineLevel="0" collapsed="false">
      <c r="D28" s="8" t="s">
        <v>73</v>
      </c>
      <c r="H28" s="9" t="n">
        <f aca="false">SUM(H5:H24)</f>
        <v>4682</v>
      </c>
    </row>
    <row r="30" customFormat="false" ht="15" hidden="false" customHeight="false" outlineLevel="0" collapsed="false">
      <c r="A30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2026-10-18T07:08:33Z</dcterms:created>
  <dc:creator>openpyxl</dc:creator>
  <dc:description/>
  <dc:language>en-US</dc:language>
  <cp:lastModifiedBy/>
  <dcterms:modified xsi:type="dcterms:W3CDTF">2026-10-18T07:08:33Z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